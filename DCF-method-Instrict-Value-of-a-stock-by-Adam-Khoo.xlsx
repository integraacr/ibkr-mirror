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showInkAnnotation="0" defaultThemeVersion="166925"/>
  <xr:revisionPtr revIDLastSave="1200" documentId="7_{B1EB2E45-7ED0-4E4D-9C1A-9F9115E87149}" xr6:coauthVersionLast="45" xr6:coauthVersionMax="45" xr10:uidLastSave="{F11787C0-917C-8146-AB9B-DC28707D116C}"/>
  <bookViews>
    <workbookView xWindow="0" yWindow="0" windowWidth="0" windowHeight="0" xr2:uid="{00000000-000D-0000-FFFF-FFFF00000000}"/>
  </bookViews>
  <sheets>
    <sheet name="DCF formula " sheetId="1" r:id="rId1"/>
    <sheet name="top stock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2" i="2" l="1"/>
  <c r="E11" i="2"/>
  <c r="E10" i="2"/>
  <c r="E9" i="2"/>
  <c r="E8" i="2"/>
  <c r="E7" i="2"/>
  <c r="E6" i="2"/>
  <c r="E5" i="2"/>
  <c r="E4" i="2"/>
  <c r="E3" i="2"/>
  <c r="L31" i="1"/>
  <c r="C30" i="1"/>
  <c r="D30" i="1"/>
  <c r="E30" i="1"/>
  <c r="F30" i="1"/>
  <c r="G30" i="1"/>
  <c r="H30" i="1"/>
  <c r="I30" i="1"/>
  <c r="J30" i="1"/>
  <c r="K30" i="1"/>
  <c r="L30" i="1"/>
  <c r="L32" i="1"/>
  <c r="L36" i="1"/>
  <c r="L35" i="1"/>
  <c r="K31" i="1"/>
  <c r="K32" i="1"/>
  <c r="K36" i="1"/>
  <c r="K35" i="1"/>
  <c r="J31" i="1"/>
  <c r="J32" i="1"/>
  <c r="J36" i="1"/>
  <c r="I31" i="1"/>
  <c r="I32" i="1"/>
  <c r="I36" i="1"/>
  <c r="H31" i="1"/>
  <c r="H32" i="1"/>
  <c r="H36" i="1"/>
  <c r="G31" i="1"/>
  <c r="G32" i="1"/>
  <c r="G36" i="1"/>
  <c r="J35" i="1"/>
  <c r="I35" i="1"/>
  <c r="H35" i="1"/>
  <c r="G35" i="1"/>
  <c r="F31" i="1"/>
  <c r="F32" i="1"/>
  <c r="F36" i="1"/>
  <c r="F35" i="1"/>
  <c r="E31" i="1"/>
  <c r="E32" i="1"/>
  <c r="E36" i="1"/>
  <c r="E35" i="1"/>
  <c r="D31" i="1"/>
  <c r="D32" i="1"/>
  <c r="D36" i="1"/>
  <c r="C31" i="1"/>
  <c r="C32" i="1"/>
  <c r="C36" i="1"/>
  <c r="D35" i="1"/>
  <c r="C35" i="1"/>
  <c r="D19" i="1"/>
  <c r="D20" i="1"/>
  <c r="D21" i="1"/>
  <c r="D22" i="1"/>
  <c r="D23" i="1"/>
</calcChain>
</file>

<file path=xl/sharedStrings.xml><?xml version="1.0" encoding="utf-8"?>
<sst xmlns="http://schemas.openxmlformats.org/spreadsheetml/2006/main" count="130" uniqueCount="117">
  <si>
    <t xml:space="preserve">Stock Symbol </t>
  </si>
  <si>
    <t>Stock Name</t>
  </si>
  <si>
    <t>Operating cash flow (current)</t>
  </si>
  <si>
    <t>Total Debt (Short Debt + LT Debt)</t>
  </si>
  <si>
    <t xml:space="preserve">Cash and short term investments </t>
  </si>
  <si>
    <t>Cash flow growth rate (1 - 5 years)</t>
  </si>
  <si>
    <t>Cash flow growth rate (6 - 10 years)</t>
  </si>
  <si>
    <t xml:space="preserve">Nr of shares outstanding </t>
  </si>
  <si>
    <t xml:space="preserve">millions </t>
  </si>
  <si>
    <t>millions</t>
  </si>
  <si>
    <t>PV of 10 years Cash Flows</t>
  </si>
  <si>
    <t>Intrinsic Value before cash/debt</t>
  </si>
  <si>
    <t>Final Intrinsic Value per Share</t>
  </si>
  <si>
    <t>Plus (+) Cash per Share</t>
  </si>
  <si>
    <t xml:space="preserve">Current Year </t>
  </si>
  <si>
    <t xml:space="preserve">Discount Rate </t>
  </si>
  <si>
    <t xml:space="preserve">Year </t>
  </si>
  <si>
    <t>Discount Factor</t>
  </si>
  <si>
    <t xml:space="preserve">Discount Value </t>
  </si>
  <si>
    <t xml:space="preserve">Balance sheet </t>
  </si>
  <si>
    <t xml:space="preserve">Discount Rate Selection </t>
  </si>
  <si>
    <t>BETA</t>
  </si>
  <si>
    <t xml:space="preserve">DISCOUNT RATE </t>
  </si>
  <si>
    <t xml:space="preserve"> LESS &lt; 0.8</t>
  </si>
  <si>
    <t>Cash flow statem</t>
  </si>
  <si>
    <t>MORE &gt; 1.6</t>
  </si>
  <si>
    <t>percentage</t>
  </si>
  <si>
    <t>Cash Flow (Projected)</t>
  </si>
  <si>
    <t xml:space="preserve">Share Price </t>
  </si>
  <si>
    <t>Less (-) Debt per Share</t>
  </si>
  <si>
    <t xml:space="preserve">Salesforce.com Inc. </t>
  </si>
  <si>
    <t xml:space="preserve">Tesla Inc. </t>
  </si>
  <si>
    <t>Zoom Video Communi.</t>
  </si>
  <si>
    <t xml:space="preserve">Crowdstrike Holdings </t>
  </si>
  <si>
    <t xml:space="preserve">Twilio Inc. </t>
  </si>
  <si>
    <t xml:space="preserve">Shopify Inc. </t>
  </si>
  <si>
    <t xml:space="preserve">Nvidia Corporation </t>
  </si>
  <si>
    <t xml:space="preserve">ABIOMED INC. </t>
  </si>
  <si>
    <t xml:space="preserve">Apple </t>
  </si>
  <si>
    <t xml:space="preserve">Advanced Micro Devices </t>
  </si>
  <si>
    <t>Lululemon Athletica</t>
  </si>
  <si>
    <t xml:space="preserve">Teladoc Health Inc. </t>
  </si>
  <si>
    <t>JD.com  Inc. ADR</t>
  </si>
  <si>
    <t xml:space="preserve">Adobe Inc. </t>
  </si>
  <si>
    <t>Barrick Gold Corp.</t>
  </si>
  <si>
    <t>Nike Inc. Cl B</t>
  </si>
  <si>
    <t xml:space="preserve">Newmont Corporation </t>
  </si>
  <si>
    <t xml:space="preserve">Facebook </t>
  </si>
  <si>
    <t>Fortinet Inc.</t>
  </si>
  <si>
    <t xml:space="preserve">Intuitive Surgical Inc. </t>
  </si>
  <si>
    <t xml:space="preserve">Slack Technologies Inc. </t>
  </si>
  <si>
    <t xml:space="preserve">Qualcomm Inc. </t>
  </si>
  <si>
    <t xml:space="preserve">ServiceNow Inc. </t>
  </si>
  <si>
    <t xml:space="preserve">Autodesk Inc. </t>
  </si>
  <si>
    <t xml:space="preserve">D.R. Horton Inc. </t>
  </si>
  <si>
    <t xml:space="preserve">Taiwan Semiconductor </t>
  </si>
  <si>
    <t xml:space="preserve">Regeneron Pharmac. Inc. </t>
  </si>
  <si>
    <t xml:space="preserve">Electronic Arts </t>
  </si>
  <si>
    <t xml:space="preserve">Activision Blizzard </t>
  </si>
  <si>
    <t xml:space="preserve">Axon Enterprise </t>
  </si>
  <si>
    <t>ASML Holding N.V.</t>
  </si>
  <si>
    <t xml:space="preserve">Illumina Inc. </t>
  </si>
  <si>
    <t>Home Depot</t>
  </si>
  <si>
    <t xml:space="preserve">Abbot Laboratories </t>
  </si>
  <si>
    <t xml:space="preserve">Equinix Inc. </t>
  </si>
  <si>
    <t xml:space="preserve">Vertex Pharmac. Inc. </t>
  </si>
  <si>
    <t xml:space="preserve">Microsoft Corp. </t>
  </si>
  <si>
    <t xml:space="preserve">S&amp;P Global Inc. </t>
  </si>
  <si>
    <t>Air Products &amp; Chemicals</t>
  </si>
  <si>
    <t>Sherwin-Williams Co.</t>
  </si>
  <si>
    <t xml:space="preserve">Intuit Inc. </t>
  </si>
  <si>
    <t>Linde PLC</t>
  </si>
  <si>
    <t>Eli  Lilly &amp; Co.</t>
  </si>
  <si>
    <t xml:space="preserve">Roper Technologies Inc. </t>
  </si>
  <si>
    <t>Accenture Plc Cl. A</t>
  </si>
  <si>
    <t xml:space="preserve">Zoetis Inc. </t>
  </si>
  <si>
    <t>Rockwell Automation Corp</t>
  </si>
  <si>
    <t>Alphabet Inc. Cl. C</t>
  </si>
  <si>
    <t>Alphabet Inc. Cl. A</t>
  </si>
  <si>
    <t>Lam Research Corp.</t>
  </si>
  <si>
    <t xml:space="preserve">Wahed FTSE USA </t>
  </si>
  <si>
    <t>SAP SE ADR</t>
  </si>
  <si>
    <t>Danaher Corp.</t>
  </si>
  <si>
    <t>Union Pacific Corp.</t>
  </si>
  <si>
    <t xml:space="preserve">Thermo Fisher Scientific </t>
  </si>
  <si>
    <t xml:space="preserve">O'Reilly Automotive Inc. </t>
  </si>
  <si>
    <t xml:space="preserve">Prologis </t>
  </si>
  <si>
    <t xml:space="preserve">Illinois Tool Works Inc. </t>
  </si>
  <si>
    <t>Ferrari N.V.</t>
  </si>
  <si>
    <t>Sanofi ADR</t>
  </si>
  <si>
    <t xml:space="preserve">Amgen Inc. </t>
  </si>
  <si>
    <t xml:space="preserve">Texas Instruments Inc. </t>
  </si>
  <si>
    <t xml:space="preserve">Analog Devices Inc. </t>
  </si>
  <si>
    <t xml:space="preserve">Procter &amp; Gamble </t>
  </si>
  <si>
    <t xml:space="preserve">Kimberly-Clark Corp. </t>
  </si>
  <si>
    <t>Novartis AG ADR</t>
  </si>
  <si>
    <t>Novo Nordisk A/S ADR</t>
  </si>
  <si>
    <t xml:space="preserve">American Tower Reit </t>
  </si>
  <si>
    <t xml:space="preserve">Mastercard Inc. </t>
  </si>
  <si>
    <t>Visa Inc. Cl A</t>
  </si>
  <si>
    <t>Colgate-Palmolive Co.</t>
  </si>
  <si>
    <t xml:space="preserve">Mondelez International </t>
  </si>
  <si>
    <t xml:space="preserve">PepsiCo Inc. </t>
  </si>
  <si>
    <t xml:space="preserve">Cisco Systems Inc. </t>
  </si>
  <si>
    <t>3M Co.</t>
  </si>
  <si>
    <t xml:space="preserve">Merck &amp; Co. Inc. </t>
  </si>
  <si>
    <t xml:space="preserve">Intel corporation </t>
  </si>
  <si>
    <t xml:space="preserve">Booking Holding Inc. </t>
  </si>
  <si>
    <t xml:space="preserve">Biogen Inc. </t>
  </si>
  <si>
    <t>Medtronic PLC</t>
  </si>
  <si>
    <t xml:space="preserve">HP Inc. </t>
  </si>
  <si>
    <t>AstraZeneca PLC ADR</t>
  </si>
  <si>
    <t xml:space="preserve">Stock Name </t>
  </si>
  <si>
    <t xml:space="preserve">Instrict Value </t>
  </si>
  <si>
    <t xml:space="preserve">Share Today </t>
  </si>
  <si>
    <t>SHOP</t>
  </si>
  <si>
    <t xml:space="preserve">Insert Value in yellow cells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</si>
</sst>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[$$-409]#,##0.00"/>
  </numFmts>
  <fonts count="5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/>
    <xf numFmtId="43" fontId="2" fillId="0" borderId="0" xfId="0" applyNumberFormat="1" applyFont="1" applyAlignment="1">
      <alignment horizontal="center" vertical="center"/>
    </xf>
    <xf numFmtId="43" fontId="0" fillId="0" borderId="0" xfId="0" applyNumberFormat="1"/>
    <xf numFmtId="43" fontId="2" fillId="0" borderId="0" xfId="0" applyNumberFormat="1" applyFont="1"/>
    <xf numFmtId="0" fontId="0" fillId="0" borderId="0" xfId="0" applyAlignment="1">
      <alignment horizontal="left" vertical="center"/>
    </xf>
    <xf numFmtId="10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3" fillId="3" borderId="5" xfId="0" applyFont="1" applyFill="1" applyBorder="1"/>
    <xf numFmtId="0" fontId="3" fillId="3" borderId="7" xfId="0" applyFont="1" applyFill="1" applyBorder="1"/>
    <xf numFmtId="0" fontId="2" fillId="0" borderId="20" xfId="0" applyFont="1" applyBorder="1" applyAlignment="1">
      <alignment horizontal="left" vertical="top"/>
    </xf>
    <xf numFmtId="0" fontId="2" fillId="0" borderId="16" xfId="0" applyFont="1" applyBorder="1"/>
    <xf numFmtId="0" fontId="2" fillId="0" borderId="19" xfId="0" applyFont="1" applyBorder="1"/>
    <xf numFmtId="0" fontId="1" fillId="3" borderId="11" xfId="0" applyFont="1" applyFill="1" applyBorder="1" applyAlignment="1">
      <alignment horizontal="left" vertical="top"/>
    </xf>
    <xf numFmtId="0" fontId="1" fillId="3" borderId="9" xfId="0" applyFont="1" applyFill="1" applyBorder="1" applyAlignment="1">
      <alignment horizontal="left" vertical="center"/>
    </xf>
    <xf numFmtId="10" fontId="3" fillId="2" borderId="10" xfId="0" applyNumberFormat="1" applyFont="1" applyFill="1" applyBorder="1" applyAlignment="1">
      <alignment horizontal="right" vertical="center"/>
    </xf>
    <xf numFmtId="10" fontId="3" fillId="2" borderId="8" xfId="0" applyNumberFormat="1" applyFont="1" applyFill="1" applyBorder="1" applyAlignment="1">
      <alignment horizontal="right" vertical="center"/>
    </xf>
    <xf numFmtId="43" fontId="3" fillId="2" borderId="8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top"/>
    </xf>
    <xf numFmtId="164" fontId="3" fillId="2" borderId="16" xfId="0" applyNumberFormat="1" applyFont="1" applyFill="1" applyBorder="1" applyAlignment="1">
      <alignment horizontal="right" vertical="center"/>
    </xf>
    <xf numFmtId="0" fontId="3" fillId="2" borderId="19" xfId="0" applyFont="1" applyFill="1" applyBorder="1"/>
    <xf numFmtId="0" fontId="1" fillId="3" borderId="17" xfId="0" applyFont="1" applyFill="1" applyBorder="1"/>
    <xf numFmtId="0" fontId="1" fillId="3" borderId="18" xfId="0" applyFont="1" applyFill="1" applyBorder="1"/>
    <xf numFmtId="14" fontId="3" fillId="2" borderId="14" xfId="0" applyNumberFormat="1" applyFont="1" applyFill="1" applyBorder="1" applyAlignment="1">
      <alignment horizontal="right" vertical="center"/>
    </xf>
    <xf numFmtId="0" fontId="4" fillId="4" borderId="17" xfId="0" applyFont="1" applyFill="1" applyBorder="1"/>
    <xf numFmtId="43" fontId="3" fillId="4" borderId="18" xfId="0" applyNumberFormat="1" applyFont="1" applyFill="1" applyBorder="1"/>
    <xf numFmtId="43" fontId="3" fillId="4" borderId="19" xfId="0" applyNumberFormat="1" applyFont="1" applyFill="1" applyBorder="1"/>
    <xf numFmtId="0" fontId="4" fillId="5" borderId="15" xfId="0" applyFont="1" applyFill="1" applyBorder="1"/>
    <xf numFmtId="0" fontId="4" fillId="5" borderId="4" xfId="0" applyFont="1" applyFill="1" applyBorder="1"/>
    <xf numFmtId="2" fontId="4" fillId="5" borderId="4" xfId="0" applyNumberFormat="1" applyFont="1" applyFill="1" applyBorder="1"/>
    <xf numFmtId="2" fontId="4" fillId="5" borderId="16" xfId="0" applyNumberFormat="1" applyFont="1" applyFill="1" applyBorder="1"/>
    <xf numFmtId="0" fontId="4" fillId="6" borderId="15" xfId="0" applyFont="1" applyFill="1" applyBorder="1"/>
    <xf numFmtId="43" fontId="4" fillId="6" borderId="4" xfId="0" applyNumberFormat="1" applyFont="1" applyFill="1" applyBorder="1"/>
    <xf numFmtId="43" fontId="4" fillId="6" borderId="16" xfId="0" applyNumberFormat="1" applyFont="1" applyFill="1" applyBorder="1"/>
    <xf numFmtId="0" fontId="4" fillId="7" borderId="13" xfId="0" applyFont="1" applyFill="1" applyBorder="1" applyAlignment="1">
      <alignment horizontal="right" vertical="center"/>
    </xf>
    <xf numFmtId="0" fontId="4" fillId="7" borderId="14" xfId="0" applyFont="1" applyFill="1" applyBorder="1" applyAlignment="1">
      <alignment horizontal="right" vertical="center"/>
    </xf>
    <xf numFmtId="0" fontId="4" fillId="7" borderId="12" xfId="0" applyFont="1" applyFill="1" applyBorder="1" applyAlignment="1">
      <alignment horizontal="left" vertical="center"/>
    </xf>
    <xf numFmtId="10" fontId="2" fillId="0" borderId="21" xfId="0" applyNumberFormat="1" applyFont="1" applyBorder="1" applyAlignment="1">
      <alignment horizontal="right" vertical="top"/>
    </xf>
    <xf numFmtId="10" fontId="2" fillId="0" borderId="16" xfId="0" applyNumberFormat="1" applyFont="1" applyBorder="1" applyAlignment="1">
      <alignment horizontal="right" vertical="top"/>
    </xf>
    <xf numFmtId="10" fontId="2" fillId="0" borderId="19" xfId="0" applyNumberFormat="1" applyFont="1" applyBorder="1" applyAlignment="1">
      <alignment horizontal="right" vertical="top"/>
    </xf>
    <xf numFmtId="165" fontId="3" fillId="2" borderId="10" xfId="0" applyNumberFormat="1" applyFont="1" applyFill="1" applyBorder="1" applyAlignment="1">
      <alignment horizontal="right" vertical="center"/>
    </xf>
    <xf numFmtId="165" fontId="3" fillId="0" borderId="10" xfId="0" applyNumberFormat="1" applyFont="1" applyBorder="1" applyAlignment="1">
      <alignment horizontal="right" vertical="center"/>
    </xf>
    <xf numFmtId="165" fontId="3" fillId="0" borderId="4" xfId="0" applyNumberFormat="1" applyFont="1" applyBorder="1" applyAlignment="1">
      <alignment horizontal="right" vertical="center"/>
    </xf>
    <xf numFmtId="165" fontId="3" fillId="0" borderId="24" xfId="0" applyNumberFormat="1" applyFont="1" applyBorder="1" applyAlignment="1">
      <alignment horizontal="right" vertical="center"/>
    </xf>
    <xf numFmtId="165" fontId="1" fillId="2" borderId="7" xfId="0" applyNumberFormat="1" applyFont="1" applyFill="1" applyBorder="1" applyAlignment="1">
      <alignment horizontal="right" vertical="center"/>
    </xf>
    <xf numFmtId="0" fontId="1" fillId="3" borderId="15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4" fillId="8" borderId="1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left" vertical="top"/>
    </xf>
    <xf numFmtId="0" fontId="1" fillId="3" borderId="24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1" fillId="3" borderId="12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1" fillId="3" borderId="22" xfId="0" applyFont="1" applyFill="1" applyBorder="1" applyAlignment="1">
      <alignment horizontal="left" vertical="top"/>
    </xf>
    <xf numFmtId="0" fontId="1" fillId="3" borderId="2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'DCF formula '!$C$35:$L$35</c:f>
              <c:numCache>
                <c:formatCode>_(* #,##0.00_);_(* \(#,##0.00\);_(* "-"??_);_(@_)</c:formatCode>
                <c:ptCount val="10"/>
                <c:pt idx="0">
                  <c:v>74.145749999999992</c:v>
                </c:pt>
                <c:pt idx="1">
                  <c:v>77.853037499999999</c:v>
                </c:pt>
                <c:pt idx="2">
                  <c:v>81.745689374999998</c:v>
                </c:pt>
                <c:pt idx="3">
                  <c:v>85.832973843749997</c:v>
                </c:pt>
                <c:pt idx="4">
                  <c:v>90.12462253593749</c:v>
                </c:pt>
                <c:pt idx="5">
                  <c:v>94.630853662734367</c:v>
                </c:pt>
                <c:pt idx="6">
                  <c:v>99.36239634587109</c:v>
                </c:pt>
                <c:pt idx="7">
                  <c:v>104.33051616316465</c:v>
                </c:pt>
                <c:pt idx="8">
                  <c:v>109.54704197132288</c:v>
                </c:pt>
                <c:pt idx="9">
                  <c:v>115.02439406988903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30-F340-9FD7-145B7BB9D9A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'DCF formula '!$C$36:$L$36</c:f>
              <c:numCache>
                <c:formatCode>_(* #,##0.00_);_(* \(#,##0.00\);_(* "-"??_);_(@_)</c:formatCode>
                <c:ptCount val="10"/>
                <c:pt idx="0">
                  <c:v>68.023623853210992</c:v>
                </c:pt>
                <c:pt idx="1">
                  <c:v>65.52734407878124</c:v>
                </c:pt>
                <c:pt idx="2">
                  <c:v>63.122670901578253</c:v>
                </c:pt>
                <c:pt idx="3">
                  <c:v>60.806242611612078</c:v>
                </c:pt>
                <c:pt idx="4">
                  <c:v>58.574820864396941</c:v>
                </c:pt>
                <c:pt idx="5">
                  <c:v>56.425286153776867</c:v>
                </c:pt>
                <c:pt idx="6">
                  <c:v>54.354633450885977</c:v>
                </c:pt>
                <c:pt idx="7">
                  <c:v>52.359968003147038</c:v>
                </c:pt>
                <c:pt idx="8">
                  <c:v>50.438501287435223</c:v>
                </c:pt>
                <c:pt idx="9">
                  <c:v>48.587547111749522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30-F340-9FD7-145B7BB9D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139328"/>
        <c:axId val="131050944"/>
      </c:lineChart>
      <c:catAx>
        <c:axId val="463139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0944"/>
        <c:crosses val="autoZero"/>
        <c:auto val="1"/>
        <c:lblAlgn val="ctr"/>
        <c:lblOffset val="100"/>
        <c:noMultiLvlLbl val="0"/>
      </c:catAx>
      <c:valAx>
        <c:axId val="13105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3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453938</xdr:colOff>
      <xdr:row>37</xdr:row>
      <xdr:rowOff>35146</xdr:rowOff>
    </xdr:from>
    <xdr:to>
      <xdr:col>5</xdr:col>
      <xdr:colOff>913242</xdr:colOff>
      <xdr:row>51</xdr:row>
      <xdr:rowOff>127204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1FA600-15B3-D44D-A6A8-A4705B2B7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DDD6-DE0A-2842-B5FB-E5419C5CD40C}">
  <dimension ref="B1:L36"/>
  <sheetViews>
    <sheetView tabSelected="1" topLeftCell="A5" zoomScaleNormal="60" zoomScaleSheetLayoutView="100" workbookViewId="0">
      <selection activeCell="E23" sqref="E23"/>
    </sheetView>
  </sheetViews>
  <sheetFormatPr defaultRowHeight="15" x14ac:dyDescent="0.2"/>
  <cols>
    <col min="1" max="1" width="4.3046875" customWidth="1"/>
    <col min="2" max="2" width="23.40625" customWidth="1"/>
    <col min="3" max="3" width="23.26953125" customWidth="1"/>
    <col min="4" max="4" width="19.1015625" customWidth="1"/>
    <col min="5" max="5" width="15.73828125" customWidth="1"/>
    <col min="6" max="6" width="15.06640625" customWidth="1"/>
    <col min="7" max="7" width="14.390625" customWidth="1"/>
    <col min="8" max="8" width="20.17578125" customWidth="1"/>
    <col min="9" max="9" width="19.1015625" customWidth="1"/>
    <col min="10" max="10" width="14.390625" customWidth="1"/>
    <col min="11" max="11" width="15.06640625" customWidth="1"/>
    <col min="12" max="12" width="15.19921875" customWidth="1"/>
  </cols>
  <sheetData>
    <row r="1" spans="2:9" s="1" customFormat="1" x14ac:dyDescent="0.2"/>
    <row r="2" spans="2:9" s="1" customFormat="1" x14ac:dyDescent="0.2"/>
    <row r="3" spans="2:9" s="1" customFormat="1" ht="19.5" thickBot="1" x14ac:dyDescent="0.25">
      <c r="B3" s="55" t="s">
        <v>116</v>
      </c>
      <c r="C3" s="56"/>
      <c r="D3" s="56"/>
      <c r="E3" s="56"/>
      <c r="F3" s="56"/>
      <c r="G3" s="57"/>
    </row>
    <row r="4" spans="2:9" s="1" customFormat="1" x14ac:dyDescent="0.2">
      <c r="B4" s="2"/>
    </row>
    <row r="5" spans="2:9" s="1" customFormat="1" ht="18.75" x14ac:dyDescent="0.2">
      <c r="B5" s="54" t="s">
        <v>1</v>
      </c>
      <c r="C5" s="66"/>
      <c r="D5" s="75" t="s">
        <v>35</v>
      </c>
      <c r="E5" s="76"/>
    </row>
    <row r="6" spans="2:9" s="1" customFormat="1" ht="18.75" x14ac:dyDescent="0.2">
      <c r="B6" s="4"/>
      <c r="C6" s="4"/>
      <c r="D6" s="3"/>
      <c r="E6" s="3"/>
    </row>
    <row r="7" spans="2:9" s="1" customFormat="1" ht="18.75" x14ac:dyDescent="0.2">
      <c r="B7" s="67" t="s">
        <v>0</v>
      </c>
      <c r="C7" s="68"/>
      <c r="D7" s="77" t="s">
        <v>115</v>
      </c>
      <c r="E7" s="77"/>
    </row>
    <row r="8" spans="2:9" s="1" customFormat="1" ht="18.75" x14ac:dyDescent="0.2">
      <c r="B8" s="54" t="s">
        <v>28</v>
      </c>
      <c r="C8" s="54"/>
      <c r="D8" s="78">
        <v>1065</v>
      </c>
      <c r="E8" s="78"/>
    </row>
    <row r="9" spans="2:9" s="1" customFormat="1" ht="19.5" thickBot="1" x14ac:dyDescent="0.25">
      <c r="B9" s="4"/>
      <c r="C9" s="4"/>
      <c r="D9" s="3"/>
      <c r="E9" s="3"/>
    </row>
    <row r="10" spans="2:9" s="1" customFormat="1" ht="18.75" x14ac:dyDescent="0.25">
      <c r="B10" s="54" t="s">
        <v>2</v>
      </c>
      <c r="C10" s="66"/>
      <c r="D10" s="48">
        <v>70.614999999999995</v>
      </c>
      <c r="E10" s="21" t="s">
        <v>8</v>
      </c>
      <c r="F10" s="6"/>
      <c r="G10" s="58" t="s">
        <v>2</v>
      </c>
      <c r="H10" s="59"/>
      <c r="I10" s="13" t="s">
        <v>24</v>
      </c>
    </row>
    <row r="11" spans="2:9" s="1" customFormat="1" ht="18.75" x14ac:dyDescent="0.25">
      <c r="B11" s="54" t="s">
        <v>3</v>
      </c>
      <c r="C11" s="66"/>
      <c r="D11" s="48">
        <v>152</v>
      </c>
      <c r="E11" s="21" t="s">
        <v>8</v>
      </c>
      <c r="F11" s="6"/>
      <c r="G11" s="60" t="s">
        <v>3</v>
      </c>
      <c r="H11" s="61"/>
      <c r="I11" s="19" t="s">
        <v>19</v>
      </c>
    </row>
    <row r="12" spans="2:9" s="1" customFormat="1" ht="19.5" thickBot="1" x14ac:dyDescent="0.3">
      <c r="B12" s="54" t="s">
        <v>4</v>
      </c>
      <c r="C12" s="66"/>
      <c r="D12" s="48">
        <v>2455</v>
      </c>
      <c r="E12" s="21" t="s">
        <v>9</v>
      </c>
      <c r="F12" s="6"/>
      <c r="G12" s="62" t="s">
        <v>4</v>
      </c>
      <c r="H12" s="63"/>
      <c r="I12" s="20" t="s">
        <v>19</v>
      </c>
    </row>
    <row r="13" spans="2:9" s="1" customFormat="1" ht="18.75" x14ac:dyDescent="0.2">
      <c r="B13" s="54" t="s">
        <v>5</v>
      </c>
      <c r="C13" s="66"/>
      <c r="D13" s="23">
        <v>0.05</v>
      </c>
      <c r="E13" s="21" t="s">
        <v>26</v>
      </c>
      <c r="F13" s="10"/>
      <c r="G13"/>
      <c r="H13"/>
      <c r="I13"/>
    </row>
    <row r="14" spans="2:9" s="1" customFormat="1" ht="19.5" thickBot="1" x14ac:dyDescent="0.25">
      <c r="B14" s="73" t="s">
        <v>6</v>
      </c>
      <c r="C14" s="74"/>
      <c r="D14" s="24">
        <v>0.05</v>
      </c>
      <c r="E14" s="22" t="s">
        <v>26</v>
      </c>
      <c r="F14" s="10"/>
      <c r="G14"/>
      <c r="H14"/>
      <c r="I14"/>
    </row>
    <row r="15" spans="2:9" s="1" customFormat="1" ht="19.5" thickBot="1" x14ac:dyDescent="0.3">
      <c r="D15" s="12"/>
      <c r="F15" s="12"/>
      <c r="G15" s="64" t="s">
        <v>20</v>
      </c>
      <c r="H15" s="65"/>
      <c r="I15"/>
    </row>
    <row r="16" spans="2:9" s="1" customFormat="1" ht="19.5" thickBot="1" x14ac:dyDescent="0.25">
      <c r="B16" s="54" t="s">
        <v>7</v>
      </c>
      <c r="C16" s="66"/>
      <c r="D16" s="25">
        <v>119</v>
      </c>
      <c r="E16" s="26" t="s">
        <v>8</v>
      </c>
      <c r="F16" s="6"/>
      <c r="G16"/>
      <c r="H16"/>
      <c r="I16"/>
    </row>
    <row r="17" spans="2:12" s="1" customFormat="1" ht="19.5" thickBot="1" x14ac:dyDescent="0.3">
      <c r="G17" s="16" t="s">
        <v>21</v>
      </c>
      <c r="H17" s="17" t="s">
        <v>22</v>
      </c>
      <c r="I17"/>
    </row>
    <row r="18" spans="2:12" s="1" customFormat="1" ht="18.75" x14ac:dyDescent="0.2">
      <c r="G18" s="18" t="s">
        <v>23</v>
      </c>
      <c r="H18" s="45">
        <v>0.05</v>
      </c>
      <c r="I18"/>
    </row>
    <row r="19" spans="2:12" s="1" customFormat="1" ht="18.75" x14ac:dyDescent="0.2">
      <c r="B19" s="54" t="s">
        <v>10</v>
      </c>
      <c r="C19" s="66"/>
      <c r="D19" s="49">
        <f>SUM(C32:L32)</f>
        <v>578.22063831657408</v>
      </c>
      <c r="E19" s="22" t="s">
        <v>8</v>
      </c>
      <c r="G19" s="14">
        <v>1</v>
      </c>
      <c r="H19" s="46">
        <v>0.06</v>
      </c>
      <c r="I19"/>
    </row>
    <row r="20" spans="2:12" s="1" customFormat="1" ht="18.75" x14ac:dyDescent="0.2">
      <c r="B20" s="54" t="s">
        <v>11</v>
      </c>
      <c r="C20" s="66"/>
      <c r="D20" s="50">
        <f>D19/D16</f>
        <v>4.8589969606434797</v>
      </c>
      <c r="G20" s="14">
        <v>1.1000000000000001</v>
      </c>
      <c r="H20" s="46">
        <v>6.5000000000000002E-2</v>
      </c>
      <c r="I20"/>
    </row>
    <row r="21" spans="2:12" s="1" customFormat="1" ht="18.75" x14ac:dyDescent="0.2">
      <c r="B21" s="54" t="s">
        <v>29</v>
      </c>
      <c r="C21" s="66"/>
      <c r="D21" s="50">
        <f>D11/D16</f>
        <v>1.2773109243697478</v>
      </c>
      <c r="G21" s="14">
        <v>1.2</v>
      </c>
      <c r="H21" s="46">
        <v>7.0000000000000007E-2</v>
      </c>
      <c r="I21"/>
    </row>
    <row r="22" spans="2:12" s="1" customFormat="1" ht="19.5" thickBot="1" x14ac:dyDescent="0.25">
      <c r="B22" s="67" t="s">
        <v>13</v>
      </c>
      <c r="C22" s="68"/>
      <c r="D22" s="51">
        <f>D12/D16</f>
        <v>20.630252100840337</v>
      </c>
      <c r="G22" s="14">
        <v>1.3</v>
      </c>
      <c r="H22" s="46">
        <v>7.4999999999999997E-2</v>
      </c>
      <c r="I22"/>
    </row>
    <row r="23" spans="2:12" s="1" customFormat="1" ht="19.5" thickBot="1" x14ac:dyDescent="0.25">
      <c r="B23" s="69" t="s">
        <v>12</v>
      </c>
      <c r="C23" s="70"/>
      <c r="D23" s="52">
        <f>D20-D21+D22</f>
        <v>24.211938137114068</v>
      </c>
      <c r="G23" s="14">
        <v>1.4</v>
      </c>
      <c r="H23" s="46">
        <v>0.08</v>
      </c>
      <c r="I23"/>
    </row>
    <row r="24" spans="2:12" s="1" customFormat="1" ht="19.5" thickBot="1" x14ac:dyDescent="0.25">
      <c r="G24" s="14">
        <v>1.5</v>
      </c>
      <c r="H24" s="46">
        <v>8.5000000000000006E-2</v>
      </c>
      <c r="I24"/>
    </row>
    <row r="25" spans="2:12" s="1" customFormat="1" ht="19.5" thickBot="1" x14ac:dyDescent="0.25">
      <c r="B25" s="71" t="s">
        <v>14</v>
      </c>
      <c r="C25" s="72"/>
      <c r="D25" s="31">
        <v>43931</v>
      </c>
      <c r="G25" s="15" t="s">
        <v>25</v>
      </c>
      <c r="H25" s="47">
        <v>0.09</v>
      </c>
      <c r="I25"/>
    </row>
    <row r="26" spans="2:12" s="1" customFormat="1" ht="18.75" x14ac:dyDescent="0.2">
      <c r="B26" s="53" t="s">
        <v>15</v>
      </c>
      <c r="C26" s="54"/>
      <c r="D26" s="27">
        <v>0.09</v>
      </c>
      <c r="E26" s="9"/>
      <c r="F26" s="11"/>
    </row>
    <row r="27" spans="2:12" ht="19.5" thickBot="1" x14ac:dyDescent="0.3">
      <c r="B27" s="29" t="s">
        <v>21</v>
      </c>
      <c r="C27" s="30"/>
      <c r="D27" s="28">
        <v>1.66</v>
      </c>
      <c r="F27" s="5"/>
    </row>
    <row r="28" spans="2:12" ht="15.75" thickBot="1" x14ac:dyDescent="0.25"/>
    <row r="29" spans="2:12" ht="18.75" x14ac:dyDescent="0.2">
      <c r="B29" s="44" t="s">
        <v>16</v>
      </c>
      <c r="C29" s="42">
        <v>2021</v>
      </c>
      <c r="D29" s="42">
        <v>2022</v>
      </c>
      <c r="E29" s="42">
        <v>2023</v>
      </c>
      <c r="F29" s="42">
        <v>2024</v>
      </c>
      <c r="G29" s="42">
        <v>2025</v>
      </c>
      <c r="H29" s="42">
        <v>2026</v>
      </c>
      <c r="I29" s="42">
        <v>2027</v>
      </c>
      <c r="J29" s="42">
        <v>2028</v>
      </c>
      <c r="K29" s="42">
        <v>2029</v>
      </c>
      <c r="L29" s="43">
        <v>2030</v>
      </c>
    </row>
    <row r="30" spans="2:12" ht="18.75" x14ac:dyDescent="0.25">
      <c r="B30" s="39" t="s">
        <v>27</v>
      </c>
      <c r="C30" s="40">
        <f>D10+D10*D13</f>
        <v>74.145749999999992</v>
      </c>
      <c r="D30" s="40">
        <f>C30+C30*D13</f>
        <v>77.853037499999999</v>
      </c>
      <c r="E30" s="40">
        <f>D30+D30*D13</f>
        <v>81.745689374999998</v>
      </c>
      <c r="F30" s="40">
        <f>E30+E30*D13</f>
        <v>85.832973843749997</v>
      </c>
      <c r="G30" s="40">
        <f>F30+F30*D13</f>
        <v>90.12462253593749</v>
      </c>
      <c r="H30" s="40">
        <f>G30+G30*D14</f>
        <v>94.630853662734367</v>
      </c>
      <c r="I30" s="40">
        <f>H30+H30*D14</f>
        <v>99.36239634587109</v>
      </c>
      <c r="J30" s="40">
        <f>I30+I30*D14</f>
        <v>104.33051616316465</v>
      </c>
      <c r="K30" s="40">
        <f>J30+J30*D14</f>
        <v>109.54704197132288</v>
      </c>
      <c r="L30" s="41">
        <f>K30+K30*D14</f>
        <v>115.02439406988903</v>
      </c>
    </row>
    <row r="31" spans="2:12" ht="18.75" x14ac:dyDescent="0.25">
      <c r="B31" s="35" t="s">
        <v>17</v>
      </c>
      <c r="C31" s="36">
        <f>POWER((1+D26),1)</f>
        <v>1.0900000000000001</v>
      </c>
      <c r="D31" s="37">
        <f>POWER((1+D26),2)</f>
        <v>1.1881000000000002</v>
      </c>
      <c r="E31" s="37">
        <f>POWER((1+D26),3)</f>
        <v>1.2950290000000002</v>
      </c>
      <c r="F31" s="37">
        <f>POWER((1+D26),4)</f>
        <v>1.4115816100000003</v>
      </c>
      <c r="G31" s="37">
        <f>POWER((1+D26),5)</f>
        <v>1.5386239549000005</v>
      </c>
      <c r="H31" s="37">
        <f>POWER((1+D26),6)</f>
        <v>1.6771001108410006</v>
      </c>
      <c r="I31" s="37">
        <f>POWER((1+D26),7)</f>
        <v>1.8280391208166906</v>
      </c>
      <c r="J31" s="37">
        <f>POWER((1+D26),8)</f>
        <v>1.9925626416901929</v>
      </c>
      <c r="K31" s="37">
        <f>POWER((1+D26),9)</f>
        <v>2.1718932794423105</v>
      </c>
      <c r="L31" s="38">
        <f>POWER((1+D26),10)</f>
        <v>2.3673636745921187</v>
      </c>
    </row>
    <row r="32" spans="2:12" ht="19.5" thickBot="1" x14ac:dyDescent="0.3">
      <c r="B32" s="32" t="s">
        <v>18</v>
      </c>
      <c r="C32" s="33">
        <f>C30/C31</f>
        <v>68.023623853210992</v>
      </c>
      <c r="D32" s="33">
        <f>D30/D31</f>
        <v>65.52734407878124</v>
      </c>
      <c r="E32" s="33">
        <f>E30/E31</f>
        <v>63.122670901578253</v>
      </c>
      <c r="F32" s="33">
        <f>F30/F31</f>
        <v>60.806242611612078</v>
      </c>
      <c r="G32" s="33">
        <f>G30/G31</f>
        <v>58.574820864396941</v>
      </c>
      <c r="H32" s="33">
        <f>H30/H31</f>
        <v>56.425286153776867</v>
      </c>
      <c r="I32" s="33">
        <f>I30/I31</f>
        <v>54.354633450885977</v>
      </c>
      <c r="J32" s="33">
        <f>J30/J31</f>
        <v>52.359968003147038</v>
      </c>
      <c r="K32" s="33">
        <f>K30/K31</f>
        <v>50.438501287435223</v>
      </c>
      <c r="L32" s="34">
        <f>L30/L31</f>
        <v>48.587547111749522</v>
      </c>
    </row>
    <row r="33" spans="2:12" ht="18.75" x14ac:dyDescent="0.25">
      <c r="C33" s="8"/>
      <c r="D33" s="8"/>
      <c r="E33" s="8"/>
      <c r="F33" s="8"/>
      <c r="G33" s="8"/>
      <c r="H33" s="8"/>
      <c r="I33" s="8"/>
      <c r="J33" s="8"/>
      <c r="K33" s="8"/>
      <c r="L33" s="5"/>
    </row>
    <row r="35" spans="2:12" ht="18.75" x14ac:dyDescent="0.25">
      <c r="B35" s="35" t="s">
        <v>17</v>
      </c>
      <c r="C35" s="7">
        <f>C30</f>
        <v>74.145749999999992</v>
      </c>
      <c r="D35" s="7">
        <f>D30</f>
        <v>77.853037499999999</v>
      </c>
      <c r="E35" s="7">
        <f>E30</f>
        <v>81.745689374999998</v>
      </c>
      <c r="F35" s="7">
        <f>F30</f>
        <v>85.832973843749997</v>
      </c>
      <c r="G35" s="7">
        <f>G30</f>
        <v>90.12462253593749</v>
      </c>
      <c r="H35" s="7">
        <f>H30</f>
        <v>94.630853662734367</v>
      </c>
      <c r="I35" s="7">
        <f>I30</f>
        <v>99.36239634587109</v>
      </c>
      <c r="J35" s="7">
        <f>J30</f>
        <v>104.33051616316465</v>
      </c>
      <c r="K35" s="7">
        <f>K30</f>
        <v>109.54704197132288</v>
      </c>
      <c r="L35" s="7">
        <f>L30</f>
        <v>115.02439406988903</v>
      </c>
    </row>
    <row r="36" spans="2:12" ht="19.5" thickBot="1" x14ac:dyDescent="0.3">
      <c r="B36" s="32" t="s">
        <v>18</v>
      </c>
      <c r="C36" s="7">
        <f>C32</f>
        <v>68.023623853210992</v>
      </c>
      <c r="D36" s="7">
        <f>D32</f>
        <v>65.52734407878124</v>
      </c>
      <c r="E36" s="7">
        <f>E32</f>
        <v>63.122670901578253</v>
      </c>
      <c r="F36" s="7">
        <f>F32</f>
        <v>60.806242611612078</v>
      </c>
      <c r="G36" s="7">
        <f>G32</f>
        <v>58.574820864396941</v>
      </c>
      <c r="H36" s="7">
        <f>H32</f>
        <v>56.425286153776867</v>
      </c>
      <c r="I36" s="7">
        <f>I32</f>
        <v>54.354633450885977</v>
      </c>
      <c r="J36" s="7">
        <f>J32</f>
        <v>52.359968003147038</v>
      </c>
      <c r="K36" s="7">
        <f>K32</f>
        <v>50.438501287435223</v>
      </c>
      <c r="L36" s="7">
        <f>L32</f>
        <v>48.587547111749522</v>
      </c>
    </row>
  </sheetData>
  <mergeCells count="24">
    <mergeCell ref="B11:C11"/>
    <mergeCell ref="D5:E5"/>
    <mergeCell ref="D7:E7"/>
    <mergeCell ref="B10:C10"/>
    <mergeCell ref="B7:C7"/>
    <mergeCell ref="B5:C5"/>
    <mergeCell ref="B8:C8"/>
    <mergeCell ref="D8:E8"/>
    <mergeCell ref="B26:C26"/>
    <mergeCell ref="B3:G3"/>
    <mergeCell ref="G10:H10"/>
    <mergeCell ref="G11:H11"/>
    <mergeCell ref="G12:H12"/>
    <mergeCell ref="G15:H15"/>
    <mergeCell ref="B19:C19"/>
    <mergeCell ref="B20:C20"/>
    <mergeCell ref="B21:C21"/>
    <mergeCell ref="B22:C22"/>
    <mergeCell ref="B23:C23"/>
    <mergeCell ref="B25:C25"/>
    <mergeCell ref="B12:C12"/>
    <mergeCell ref="B13:C13"/>
    <mergeCell ref="B14:C14"/>
    <mergeCell ref="B16:C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A2D8-CD33-AF41-8FE4-D26E3ABCAAA2}">
  <dimension ref="A2:E85"/>
  <sheetViews>
    <sheetView zoomScaleNormal="60" zoomScaleSheetLayoutView="100" workbookViewId="0">
      <selection activeCell="A86" sqref="A86"/>
    </sheetView>
  </sheetViews>
  <sheetFormatPr defaultRowHeight="15" x14ac:dyDescent="0.2"/>
  <cols>
    <col min="1" max="1" width="3.09375" customWidth="1"/>
    <col min="2" max="2" width="21.7890625" customWidth="1"/>
    <col min="3" max="3" width="11.703125" customWidth="1"/>
    <col min="4" max="4" width="12.64453125" customWidth="1"/>
    <col min="5" max="5" width="15.33203125" customWidth="1"/>
  </cols>
  <sheetData>
    <row r="2" spans="1:5" x14ac:dyDescent="0.2">
      <c r="B2" t="s">
        <v>112</v>
      </c>
      <c r="C2" t="s">
        <v>114</v>
      </c>
      <c r="D2" t="s">
        <v>113</v>
      </c>
    </row>
    <row r="3" spans="1:5" x14ac:dyDescent="0.2">
      <c r="A3">
        <v>1</v>
      </c>
      <c r="B3" t="s">
        <v>31</v>
      </c>
      <c r="C3" s="1">
        <v>415</v>
      </c>
      <c r="D3" s="1">
        <v>10</v>
      </c>
      <c r="E3" t="str">
        <f>IF(D3&gt;C3,"undervalued","overvalued")</f>
        <v>overvalued</v>
      </c>
    </row>
    <row r="4" spans="1:5" x14ac:dyDescent="0.2">
      <c r="A4">
        <v>2</v>
      </c>
      <c r="B4" t="s">
        <v>32</v>
      </c>
      <c r="C4" s="1">
        <v>482</v>
      </c>
      <c r="D4" s="1">
        <v>25</v>
      </c>
      <c r="E4" t="str">
        <f>IF(D4&gt;C4,"undervalued","overvalued")</f>
        <v>overvalued</v>
      </c>
    </row>
    <row r="5" spans="1:5" x14ac:dyDescent="0.2">
      <c r="A5">
        <v>3</v>
      </c>
      <c r="B5" t="s">
        <v>33</v>
      </c>
      <c r="C5" s="1">
        <v>100</v>
      </c>
      <c r="D5" s="1">
        <v>140</v>
      </c>
      <c r="E5" t="str">
        <f>IF(D5&gt;C5,"undervalued","overvalued")</f>
        <v>undervalued</v>
      </c>
    </row>
    <row r="6" spans="1:5" x14ac:dyDescent="0.2">
      <c r="A6">
        <v>4</v>
      </c>
      <c r="B6" t="s">
        <v>34</v>
      </c>
      <c r="C6" s="1">
        <v>900</v>
      </c>
      <c r="D6" s="1">
        <v>290</v>
      </c>
      <c r="E6" t="str">
        <f>IF(D6&gt;C6,"undervalued","overvalued")</f>
        <v>overvalued</v>
      </c>
    </row>
    <row r="7" spans="1:5" x14ac:dyDescent="0.2">
      <c r="A7">
        <v>5</v>
      </c>
      <c r="B7" t="s">
        <v>35</v>
      </c>
      <c r="C7" s="1">
        <v>1065</v>
      </c>
      <c r="D7" s="1">
        <v>20</v>
      </c>
      <c r="E7" t="str">
        <f>IF(D7&gt;C7,"undervalued","overvalued")</f>
        <v>overvalued</v>
      </c>
    </row>
    <row r="8" spans="1:5" x14ac:dyDescent="0.2">
      <c r="A8">
        <v>6</v>
      </c>
      <c r="B8" t="s">
        <v>36</v>
      </c>
      <c r="C8" s="1">
        <v>540.61</v>
      </c>
      <c r="D8" s="1">
        <v>125</v>
      </c>
      <c r="E8" t="str">
        <f>IF(D8&gt;C8,"undervalued","overvalued")</f>
        <v>overvalued</v>
      </c>
    </row>
    <row r="9" spans="1:5" x14ac:dyDescent="0.2">
      <c r="A9">
        <v>7</v>
      </c>
      <c r="B9" t="s">
        <v>37</v>
      </c>
      <c r="C9" s="1">
        <v>267.60000000000002</v>
      </c>
      <c r="D9" s="1">
        <v>140</v>
      </c>
      <c r="E9" t="str">
        <f>IF(D9&gt;C9,"undervalued","overvalued")</f>
        <v>overvalued</v>
      </c>
    </row>
    <row r="10" spans="1:5" x14ac:dyDescent="0.2">
      <c r="A10">
        <v>8</v>
      </c>
      <c r="B10" t="s">
        <v>38</v>
      </c>
      <c r="C10" s="1">
        <v>112</v>
      </c>
      <c r="D10" s="1">
        <v>55</v>
      </c>
      <c r="E10" t="str">
        <f>IF(D10&gt;C10,"undervalued","overvalued")</f>
        <v>overvalued</v>
      </c>
    </row>
    <row r="11" spans="1:5" x14ac:dyDescent="0.2">
      <c r="A11">
        <v>9</v>
      </c>
      <c r="B11" t="s">
        <v>39</v>
      </c>
      <c r="E11" t="str">
        <f>IF(D11&gt;C11,"undervalued","overvalued")</f>
        <v>overvalued</v>
      </c>
    </row>
    <row r="12" spans="1:5" x14ac:dyDescent="0.2">
      <c r="A12">
        <v>10</v>
      </c>
      <c r="B12" t="s">
        <v>40</v>
      </c>
    </row>
    <row r="13" spans="1:5" x14ac:dyDescent="0.2">
      <c r="A13">
        <v>11</v>
      </c>
      <c r="B13" t="s">
        <v>41</v>
      </c>
    </row>
    <row r="14" spans="1:5" x14ac:dyDescent="0.2">
      <c r="A14">
        <v>12</v>
      </c>
      <c r="B14" t="s">
        <v>30</v>
      </c>
    </row>
    <row r="15" spans="1:5" x14ac:dyDescent="0.2">
      <c r="A15">
        <v>13</v>
      </c>
      <c r="B15" t="s">
        <v>42</v>
      </c>
    </row>
    <row r="16" spans="1:5" x14ac:dyDescent="0.2">
      <c r="A16">
        <v>14</v>
      </c>
      <c r="B16" t="s">
        <v>43</v>
      </c>
    </row>
    <row r="17" spans="1:2" x14ac:dyDescent="0.2">
      <c r="A17">
        <v>15</v>
      </c>
      <c r="B17" t="s">
        <v>44</v>
      </c>
    </row>
    <row r="18" spans="1:2" x14ac:dyDescent="0.2">
      <c r="A18">
        <v>16</v>
      </c>
      <c r="B18" t="s">
        <v>45</v>
      </c>
    </row>
    <row r="19" spans="1:2" x14ac:dyDescent="0.2">
      <c r="A19">
        <v>17</v>
      </c>
      <c r="B19" t="s">
        <v>46</v>
      </c>
    </row>
    <row r="20" spans="1:2" x14ac:dyDescent="0.2">
      <c r="A20">
        <v>18</v>
      </c>
      <c r="B20" t="s">
        <v>47</v>
      </c>
    </row>
    <row r="21" spans="1:2" x14ac:dyDescent="0.2">
      <c r="A21">
        <v>19</v>
      </c>
      <c r="B21" t="s">
        <v>48</v>
      </c>
    </row>
    <row r="22" spans="1:2" x14ac:dyDescent="0.2">
      <c r="A22">
        <v>20</v>
      </c>
      <c r="B22" t="s">
        <v>49</v>
      </c>
    </row>
    <row r="23" spans="1:2" x14ac:dyDescent="0.2">
      <c r="A23">
        <v>21</v>
      </c>
      <c r="B23" t="s">
        <v>50</v>
      </c>
    </row>
    <row r="24" spans="1:2" x14ac:dyDescent="0.2">
      <c r="A24">
        <v>22</v>
      </c>
      <c r="B24" t="s">
        <v>51</v>
      </c>
    </row>
    <row r="25" spans="1:2" x14ac:dyDescent="0.2">
      <c r="A25">
        <v>23</v>
      </c>
      <c r="B25" t="s">
        <v>52</v>
      </c>
    </row>
    <row r="26" spans="1:2" x14ac:dyDescent="0.2">
      <c r="A26">
        <v>24</v>
      </c>
      <c r="B26" t="s">
        <v>53</v>
      </c>
    </row>
    <row r="27" spans="1:2" x14ac:dyDescent="0.2">
      <c r="A27">
        <v>25</v>
      </c>
      <c r="B27" t="s">
        <v>54</v>
      </c>
    </row>
    <row r="28" spans="1:2" x14ac:dyDescent="0.2">
      <c r="A28">
        <v>26</v>
      </c>
      <c r="B28" t="s">
        <v>55</v>
      </c>
    </row>
    <row r="29" spans="1:2" x14ac:dyDescent="0.2">
      <c r="A29">
        <v>27</v>
      </c>
      <c r="B29" t="s">
        <v>56</v>
      </c>
    </row>
    <row r="30" spans="1:2" x14ac:dyDescent="0.2">
      <c r="A30">
        <v>28</v>
      </c>
      <c r="B30" t="s">
        <v>57</v>
      </c>
    </row>
    <row r="31" spans="1:2" x14ac:dyDescent="0.2">
      <c r="A31">
        <v>29</v>
      </c>
      <c r="B31" t="s">
        <v>58</v>
      </c>
    </row>
    <row r="32" spans="1:2" x14ac:dyDescent="0.2">
      <c r="A32">
        <v>30</v>
      </c>
      <c r="B32" t="s">
        <v>59</v>
      </c>
    </row>
    <row r="33" spans="1:2" x14ac:dyDescent="0.2">
      <c r="A33">
        <v>31</v>
      </c>
      <c r="B33" t="s">
        <v>60</v>
      </c>
    </row>
    <row r="34" spans="1:2" x14ac:dyDescent="0.2">
      <c r="A34">
        <v>32</v>
      </c>
      <c r="B34" t="s">
        <v>61</v>
      </c>
    </row>
    <row r="35" spans="1:2" x14ac:dyDescent="0.2">
      <c r="A35">
        <v>33</v>
      </c>
      <c r="B35" t="s">
        <v>62</v>
      </c>
    </row>
    <row r="36" spans="1:2" x14ac:dyDescent="0.2">
      <c r="A36">
        <v>34</v>
      </c>
      <c r="B36" t="s">
        <v>63</v>
      </c>
    </row>
    <row r="37" spans="1:2" x14ac:dyDescent="0.2">
      <c r="A37">
        <v>35</v>
      </c>
      <c r="B37" t="s">
        <v>64</v>
      </c>
    </row>
    <row r="38" spans="1:2" x14ac:dyDescent="0.2">
      <c r="A38">
        <v>36</v>
      </c>
      <c r="B38" t="s">
        <v>65</v>
      </c>
    </row>
    <row r="39" spans="1:2" x14ac:dyDescent="0.2">
      <c r="A39">
        <v>37</v>
      </c>
      <c r="B39" t="s">
        <v>66</v>
      </c>
    </row>
    <row r="40" spans="1:2" x14ac:dyDescent="0.2">
      <c r="A40">
        <v>38</v>
      </c>
      <c r="B40" t="s">
        <v>67</v>
      </c>
    </row>
    <row r="41" spans="1:2" x14ac:dyDescent="0.2">
      <c r="A41">
        <v>39</v>
      </c>
      <c r="B41" t="s">
        <v>68</v>
      </c>
    </row>
    <row r="42" spans="1:2" x14ac:dyDescent="0.2">
      <c r="A42">
        <v>40</v>
      </c>
      <c r="B42" t="s">
        <v>69</v>
      </c>
    </row>
    <row r="43" spans="1:2" x14ac:dyDescent="0.2">
      <c r="A43">
        <v>41</v>
      </c>
      <c r="B43" t="s">
        <v>70</v>
      </c>
    </row>
    <row r="44" spans="1:2" x14ac:dyDescent="0.2">
      <c r="A44">
        <v>42</v>
      </c>
      <c r="B44" t="s">
        <v>59</v>
      </c>
    </row>
    <row r="45" spans="1:2" x14ac:dyDescent="0.2">
      <c r="A45">
        <v>43</v>
      </c>
      <c r="B45" t="s">
        <v>71</v>
      </c>
    </row>
    <row r="46" spans="1:2" x14ac:dyDescent="0.2">
      <c r="A46">
        <v>44</v>
      </c>
      <c r="B46" t="s">
        <v>72</v>
      </c>
    </row>
    <row r="47" spans="1:2" x14ac:dyDescent="0.2">
      <c r="A47">
        <v>45</v>
      </c>
      <c r="B47" t="s">
        <v>73</v>
      </c>
    </row>
    <row r="48" spans="1:2" x14ac:dyDescent="0.2">
      <c r="A48">
        <v>46</v>
      </c>
      <c r="B48" t="s">
        <v>74</v>
      </c>
    </row>
    <row r="49" spans="1:2" x14ac:dyDescent="0.2">
      <c r="A49">
        <v>47</v>
      </c>
      <c r="B49" t="s">
        <v>75</v>
      </c>
    </row>
    <row r="50" spans="1:2" x14ac:dyDescent="0.2">
      <c r="A50">
        <v>48</v>
      </c>
      <c r="B50" t="s">
        <v>76</v>
      </c>
    </row>
    <row r="51" spans="1:2" x14ac:dyDescent="0.2">
      <c r="A51">
        <v>49</v>
      </c>
      <c r="B51" t="s">
        <v>77</v>
      </c>
    </row>
    <row r="52" spans="1:2" x14ac:dyDescent="0.2">
      <c r="A52">
        <v>50</v>
      </c>
      <c r="B52" t="s">
        <v>78</v>
      </c>
    </row>
    <row r="53" spans="1:2" x14ac:dyDescent="0.2">
      <c r="A53">
        <v>51</v>
      </c>
      <c r="B53" t="s">
        <v>79</v>
      </c>
    </row>
    <row r="54" spans="1:2" x14ac:dyDescent="0.2">
      <c r="A54">
        <v>52</v>
      </c>
      <c r="B54" t="s">
        <v>80</v>
      </c>
    </row>
    <row r="55" spans="1:2" x14ac:dyDescent="0.2">
      <c r="A55">
        <v>53</v>
      </c>
      <c r="B55" t="s">
        <v>81</v>
      </c>
    </row>
    <row r="56" spans="1:2" x14ac:dyDescent="0.2">
      <c r="A56">
        <v>54</v>
      </c>
      <c r="B56" t="s">
        <v>82</v>
      </c>
    </row>
    <row r="57" spans="1:2" x14ac:dyDescent="0.2">
      <c r="A57">
        <v>55</v>
      </c>
      <c r="B57" t="s">
        <v>83</v>
      </c>
    </row>
    <row r="58" spans="1:2" x14ac:dyDescent="0.2">
      <c r="A58">
        <v>56</v>
      </c>
      <c r="B58" t="s">
        <v>84</v>
      </c>
    </row>
    <row r="59" spans="1:2" x14ac:dyDescent="0.2">
      <c r="A59">
        <v>57</v>
      </c>
      <c r="B59" t="s">
        <v>85</v>
      </c>
    </row>
    <row r="60" spans="1:2" x14ac:dyDescent="0.2">
      <c r="A60">
        <v>58</v>
      </c>
      <c r="B60" t="s">
        <v>86</v>
      </c>
    </row>
    <row r="61" spans="1:2" x14ac:dyDescent="0.2">
      <c r="A61">
        <v>59</v>
      </c>
      <c r="B61" t="s">
        <v>87</v>
      </c>
    </row>
    <row r="62" spans="1:2" x14ac:dyDescent="0.2">
      <c r="A62">
        <v>60</v>
      </c>
      <c r="B62" t="s">
        <v>88</v>
      </c>
    </row>
    <row r="63" spans="1:2" x14ac:dyDescent="0.2">
      <c r="A63">
        <v>61</v>
      </c>
      <c r="B63" t="s">
        <v>89</v>
      </c>
    </row>
    <row r="64" spans="1:2" x14ac:dyDescent="0.2">
      <c r="A64">
        <v>62</v>
      </c>
      <c r="B64" t="s">
        <v>90</v>
      </c>
    </row>
    <row r="65" spans="1:2" x14ac:dyDescent="0.2">
      <c r="A65">
        <v>63</v>
      </c>
      <c r="B65" t="s">
        <v>91</v>
      </c>
    </row>
    <row r="66" spans="1:2" x14ac:dyDescent="0.2">
      <c r="A66">
        <v>64</v>
      </c>
      <c r="B66" t="s">
        <v>92</v>
      </c>
    </row>
    <row r="67" spans="1:2" x14ac:dyDescent="0.2">
      <c r="A67">
        <v>65</v>
      </c>
      <c r="B67" t="s">
        <v>93</v>
      </c>
    </row>
    <row r="68" spans="1:2" x14ac:dyDescent="0.2">
      <c r="A68">
        <v>66</v>
      </c>
      <c r="B68" t="s">
        <v>94</v>
      </c>
    </row>
    <row r="69" spans="1:2" x14ac:dyDescent="0.2">
      <c r="A69">
        <v>67</v>
      </c>
      <c r="B69" t="s">
        <v>95</v>
      </c>
    </row>
    <row r="70" spans="1:2" x14ac:dyDescent="0.2">
      <c r="A70">
        <v>68</v>
      </c>
      <c r="B70" t="s">
        <v>96</v>
      </c>
    </row>
    <row r="71" spans="1:2" x14ac:dyDescent="0.2">
      <c r="A71">
        <v>69</v>
      </c>
      <c r="B71" t="s">
        <v>97</v>
      </c>
    </row>
    <row r="72" spans="1:2" x14ac:dyDescent="0.2">
      <c r="A72">
        <v>70</v>
      </c>
      <c r="B72" t="s">
        <v>98</v>
      </c>
    </row>
    <row r="73" spans="1:2" x14ac:dyDescent="0.2">
      <c r="A73">
        <v>71</v>
      </c>
      <c r="B73" t="s">
        <v>99</v>
      </c>
    </row>
    <row r="74" spans="1:2" x14ac:dyDescent="0.2">
      <c r="A74">
        <v>72</v>
      </c>
      <c r="B74" t="s">
        <v>100</v>
      </c>
    </row>
    <row r="75" spans="1:2" x14ac:dyDescent="0.2">
      <c r="A75">
        <v>73</v>
      </c>
      <c r="B75" t="s">
        <v>101</v>
      </c>
    </row>
    <row r="76" spans="1:2" x14ac:dyDescent="0.2">
      <c r="A76">
        <v>74</v>
      </c>
      <c r="B76" t="s">
        <v>102</v>
      </c>
    </row>
    <row r="77" spans="1:2" x14ac:dyDescent="0.2">
      <c r="A77">
        <v>75</v>
      </c>
      <c r="B77" t="s">
        <v>103</v>
      </c>
    </row>
    <row r="78" spans="1:2" x14ac:dyDescent="0.2">
      <c r="A78">
        <v>76</v>
      </c>
      <c r="B78" t="s">
        <v>104</v>
      </c>
    </row>
    <row r="79" spans="1:2" x14ac:dyDescent="0.2">
      <c r="A79">
        <v>77</v>
      </c>
      <c r="B79" t="s">
        <v>105</v>
      </c>
    </row>
    <row r="80" spans="1:2" x14ac:dyDescent="0.2">
      <c r="A80">
        <v>78</v>
      </c>
      <c r="B80" t="s">
        <v>106</v>
      </c>
    </row>
    <row r="81" spans="1:5" x14ac:dyDescent="0.2">
      <c r="A81">
        <v>79</v>
      </c>
      <c r="B81" t="s">
        <v>107</v>
      </c>
    </row>
    <row r="82" spans="1:5" x14ac:dyDescent="0.2">
      <c r="A82">
        <v>80</v>
      </c>
      <c r="B82" t="s">
        <v>108</v>
      </c>
      <c r="C82">
        <v>248</v>
      </c>
      <c r="D82">
        <v>330</v>
      </c>
      <c r="E82" t="str">
        <f>IF(D82&gt;C82,"undervalued","overvalued")</f>
        <v>undervalued</v>
      </c>
    </row>
    <row r="83" spans="1:5" x14ac:dyDescent="0.2">
      <c r="A83">
        <v>81</v>
      </c>
      <c r="B83" t="s">
        <v>109</v>
      </c>
    </row>
    <row r="84" spans="1:5" x14ac:dyDescent="0.2">
      <c r="A84">
        <v>82</v>
      </c>
      <c r="B84" t="s">
        <v>110</v>
      </c>
    </row>
    <row r="85" spans="1:5" x14ac:dyDescent="0.2">
      <c r="A85">
        <v>83</v>
      </c>
      <c r="B8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 formula </vt:lpstr>
      <vt:lpstr>top stock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Ervin Alb</dc:creator>
  <dcterms:created xsi:type="dcterms:W3CDTF">2020-10-04T06:08:11Z</dcterms:created>
</cp:coreProperties>
</file>